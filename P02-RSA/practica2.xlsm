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bicho/Desktop/"/>
    </mc:Choice>
  </mc:AlternateContent>
  <xr:revisionPtr revIDLastSave="0" documentId="8_{D271A59A-D92C-214A-B421-F7DD1CA9D3A9}" xr6:coauthVersionLast="47" xr6:coauthVersionMax="47" xr10:uidLastSave="{00000000-0000-0000-0000-000000000000}"/>
  <bookViews>
    <workbookView xWindow="380" yWindow="500" windowWidth="28040" windowHeight="16240" xr2:uid="{4E406E5C-75DC-E74F-B304-42EB8C46AD24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G3" i="1"/>
  <c r="D4" i="1"/>
  <c r="D5" i="1" s="1"/>
  <c r="L3" i="1" a="1"/>
  <c r="L5" i="1" a="1"/>
  <c r="L7" i="1" a="1"/>
  <c r="L9" i="1" a="1"/>
  <c r="L11" i="1" a="1"/>
  <c r="L6" i="1" a="1"/>
  <c r="L8" i="1" a="1"/>
  <c r="L10" i="1" a="1"/>
  <c r="L4" i="1" a="1"/>
  <c r="L2" i="1" a="1"/>
  <c r="L4" i="1" l="1"/>
  <c r="M4" i="1" s="1"/>
  <c r="L10" i="1"/>
  <c r="M10" i="1" s="1"/>
  <c r="L8" i="1"/>
  <c r="L6" i="1"/>
  <c r="M6" i="1" s="1"/>
  <c r="L11" i="1"/>
  <c r="L9" i="1"/>
  <c r="M9" i="1" s="1"/>
  <c r="L7" i="1"/>
  <c r="L5" i="1"/>
  <c r="M5" i="1" s="1"/>
  <c r="L3" i="1"/>
  <c r="M3" i="1" s="1"/>
  <c r="L2" i="1"/>
  <c r="M2" i="1" s="1"/>
  <c r="E3" i="1"/>
  <c r="G4" i="1"/>
  <c r="D6" i="1"/>
  <c r="D7" i="1"/>
  <c r="E7" i="1" s="1"/>
  <c r="M7" i="1"/>
  <c r="M8" i="1"/>
  <c r="M11" i="1"/>
  <c r="B4" i="1"/>
  <c r="E5" i="1" s="1"/>
  <c r="B3" i="1"/>
  <c r="I4" i="1" l="1"/>
  <c r="G5" i="1"/>
  <c r="H4" i="1"/>
  <c r="E4" i="1"/>
  <c r="E2" i="1"/>
  <c r="H2" i="1"/>
  <c r="I2" i="1"/>
  <c r="D8" i="1"/>
  <c r="E6" i="1"/>
  <c r="I3" i="1"/>
  <c r="H3" i="1"/>
  <c r="I5" i="1" l="1"/>
  <c r="G6" i="1"/>
  <c r="H5" i="1"/>
  <c r="E8" i="1"/>
  <c r="D9" i="1"/>
  <c r="I6" i="1" l="1"/>
  <c r="G7" i="1"/>
  <c r="H6" i="1"/>
  <c r="E9" i="1"/>
  <c r="D10" i="1"/>
  <c r="H7" i="1" l="1"/>
  <c r="I7" i="1"/>
  <c r="G8" i="1"/>
  <c r="E10" i="1"/>
  <c r="D11" i="1"/>
  <c r="H8" i="1" l="1"/>
  <c r="I8" i="1"/>
  <c r="G9" i="1"/>
  <c r="E11" i="1"/>
  <c r="D12" i="1"/>
  <c r="H9" i="1" l="1"/>
  <c r="I9" i="1"/>
  <c r="G10" i="1"/>
  <c r="E12" i="1"/>
  <c r="D13" i="1"/>
  <c r="G11" i="1" l="1"/>
  <c r="I10" i="1"/>
  <c r="H10" i="1"/>
  <c r="E13" i="1"/>
  <c r="D14" i="1"/>
  <c r="E14" i="1" l="1"/>
  <c r="D15" i="1"/>
  <c r="H11" i="1"/>
  <c r="I11" i="1"/>
  <c r="G12" i="1"/>
  <c r="D16" i="1" l="1"/>
  <c r="E15" i="1"/>
  <c r="H12" i="1"/>
  <c r="I12" i="1"/>
  <c r="G13" i="1"/>
  <c r="H13" i="1" l="1"/>
  <c r="G14" i="1"/>
  <c r="I13" i="1"/>
  <c r="E16" i="1"/>
  <c r="D17" i="1"/>
  <c r="H14" i="1" l="1"/>
  <c r="I14" i="1"/>
  <c r="G15" i="1"/>
  <c r="E17" i="1"/>
  <c r="D18" i="1"/>
  <c r="I15" i="1" l="1"/>
  <c r="H15" i="1"/>
  <c r="G16" i="1"/>
  <c r="E18" i="1"/>
  <c r="D19" i="1"/>
  <c r="I16" i="1" l="1"/>
  <c r="H16" i="1"/>
  <c r="G17" i="1"/>
  <c r="E19" i="1"/>
  <c r="D20" i="1"/>
  <c r="H17" i="1" l="1"/>
  <c r="G18" i="1"/>
  <c r="I17" i="1"/>
  <c r="E20" i="1"/>
  <c r="D21" i="1"/>
  <c r="I18" i="1" l="1"/>
  <c r="H18" i="1"/>
  <c r="G19" i="1"/>
  <c r="E21" i="1"/>
  <c r="D22" i="1"/>
  <c r="E22" i="1" l="1"/>
  <c r="D23" i="1"/>
  <c r="I19" i="1"/>
  <c r="G20" i="1"/>
  <c r="H19" i="1"/>
  <c r="I20" i="1" l="1"/>
  <c r="H20" i="1"/>
  <c r="G21" i="1"/>
  <c r="E23" i="1"/>
  <c r="D24" i="1"/>
  <c r="G22" i="1" l="1"/>
  <c r="H21" i="1"/>
  <c r="I21" i="1"/>
  <c r="E24" i="1"/>
  <c r="D25" i="1"/>
  <c r="E25" i="1" l="1"/>
  <c r="D26" i="1"/>
  <c r="H22" i="1"/>
  <c r="G23" i="1"/>
  <c r="I22" i="1"/>
  <c r="I23" i="1" l="1"/>
  <c r="H23" i="1"/>
  <c r="G24" i="1"/>
  <c r="E26" i="1"/>
  <c r="D27" i="1"/>
  <c r="I24" i="1" l="1"/>
  <c r="H24" i="1"/>
  <c r="G25" i="1"/>
  <c r="E27" i="1"/>
  <c r="D28" i="1"/>
  <c r="H25" i="1" l="1"/>
  <c r="G26" i="1"/>
  <c r="I25" i="1"/>
  <c r="E28" i="1"/>
  <c r="D29" i="1"/>
  <c r="G27" i="1" l="1"/>
  <c r="I26" i="1"/>
  <c r="H26" i="1"/>
  <c r="E29" i="1"/>
  <c r="D30" i="1"/>
  <c r="E30" i="1" l="1"/>
  <c r="D31" i="1"/>
  <c r="G28" i="1"/>
  <c r="I27" i="1"/>
  <c r="H27" i="1"/>
  <c r="I28" i="1" l="1"/>
  <c r="H28" i="1"/>
  <c r="G29" i="1"/>
  <c r="E31" i="1"/>
  <c r="D32" i="1"/>
  <c r="G30" i="1" l="1"/>
  <c r="H29" i="1"/>
  <c r="I29" i="1"/>
  <c r="E32" i="1"/>
  <c r="D33" i="1"/>
  <c r="E33" i="1" l="1"/>
  <c r="D34" i="1"/>
  <c r="E34" i="1" s="1"/>
  <c r="I30" i="1"/>
  <c r="G31" i="1"/>
  <c r="H30" i="1"/>
  <c r="H31" i="1" l="1"/>
  <c r="I31" i="1"/>
  <c r="G32" i="1"/>
  <c r="I32" i="1" l="1"/>
  <c r="G33" i="1"/>
  <c r="H32" i="1"/>
  <c r="H33" i="1" l="1"/>
  <c r="G34" i="1"/>
  <c r="I33" i="1"/>
  <c r="I34" i="1" l="1"/>
  <c r="H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<sst xmlns="http://schemas.openxmlformats.org/spreadsheetml/2006/main" count="14" uniqueCount="14">
  <si>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p</t>
  </si>
  <si>
    <t>q</t>
  </si>
  <si>
    <t>n</t>
  </si>
  <si>
    <t>phi(n)</t>
  </si>
  <si>
    <t>Candidato e</t>
  </si>
  <si>
    <t>MCD(e, phi)</t>
  </si>
  <si>
    <t>e</t>
  </si>
  <si>
    <t>k</t>
  </si>
  <si>
    <t>d calculada</t>
  </si>
  <si>
    <t>¿Es entero?</t>
  </si>
  <si>
    <t>d</t>
  </si>
  <si>
    <t>Cifrado</t>
  </si>
  <si>
    <t>Descifrado</t>
  </si>
  <si>
    <t>Letra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</si>
</sst>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B199C-C493-E84A-B4A9-92F0DD5B014E}">
  <sheetPr codeName="Hoja1"/>
  <dimension ref="A1:M34"/>
  <sheetViews>
    <sheetView tabSelected="1" workbookViewId="0">
      <selection activeCell="K16" sqref="K16"/>
    </sheetView>
  </sheetViews>
  <sheetFormatPr baseColWidth="10" defaultRowHeight="16" x14ac:dyDescent="0.2"/>
  <cols>
    <col min="9" max="9" width="17.5" customWidth="1"/>
  </cols>
  <sheetData>
    <row r="1" spans="1:13" ht="17" x14ac:dyDescent="0.25">
      <c r="A1" t="s">
        <v>0</v>
      </c>
      <c r="B1">
        <v>67</v>
      </c>
      <c r="D1" t="s">
        <v>4</v>
      </c>
      <c r="E1" s="1" t="s">
        <v>5</v>
      </c>
      <c r="G1" t="s">
        <v>7</v>
      </c>
      <c r="H1" t="s">
        <v>8</v>
      </c>
      <c r="I1" t="s">
        <v>9</v>
      </c>
      <c r="K1" t="s">
        <v>11</v>
      </c>
      <c r="L1" t="s">
        <v>12</v>
      </c>
      <c r="M1" s="1" t="s">
        <v>13</v>
      </c>
    </row>
    <row r="2" spans="1:13" x14ac:dyDescent="0.2">
      <c r="A2" t="s">
        <v>1</v>
      </c>
      <c r="B2">
        <v>83</v>
      </c>
      <c r="D2">
        <v>2</v>
      </c>
      <c r="E2">
        <f>GCD(D2, $B$4)</f>
        <v>2</v>
      </c>
      <c r="G2">
        <v>1</v>
      </c>
      <c r="H2">
        <f>(G2*$B$4 + 1)/$B$5</f>
        <v>318.41176470588238</v>
      </c>
      <c r="I2" t="b">
        <f>MOD(G2*$B$4 + 1, $B$5)=0</f>
        <v>0</v>
      </c>
      <c r="K2">
        <v>1058</v>
      </c>
      <c r="L2" cm="1">
        <f t="array" ref="L2">DescifrarRSA(K2, $B$6, $B$3)</f>
        <v>72</v>
      </c>
      <c r="M2" t="str">
        <f>CHAR(L2)</f>
        <v>H</v>
      </c>
    </row>
    <row r="3" spans="1:13" x14ac:dyDescent="0.2">
      <c r="A3" t="s">
        <v>2</v>
      </c>
      <c r="B3">
        <f>B1*B2</f>
        <v>5561</v>
      </c>
      <c r="D3">
        <f>D2+1</f>
        <v>3</v>
      </c>
      <c r="E3">
        <f t="shared" ref="E3:E34" si="0">GCD(D3, $B$4)</f>
        <v>3</v>
      </c>
      <c r="G3">
        <f>G2+1</f>
        <v>2</v>
      </c>
      <c r="H3">
        <f t="shared" ref="H3:H34" si="1">(G3*$B$4 + 1)/$B$5</f>
        <v>636.76470588235293</v>
      </c>
      <c r="I3" t="b">
        <f t="shared" ref="I3:I34" si="2">MOD(G3*$B$4 + 1, $B$5)=0</f>
        <v>0</v>
      </c>
      <c r="K3">
        <v>2597</v>
      </c>
      <c r="L3" cm="1">
        <f t="array" ref="L3">DescifrarRSA(K3, $B$6, $B$3)</f>
        <v>79</v>
      </c>
      <c r="M3" t="str">
        <f t="shared" ref="M3:M11" si="3">CHAR(L3)</f>
        <v>O</v>
      </c>
    </row>
    <row r="4" spans="1:13" x14ac:dyDescent="0.2">
      <c r="A4" t="s">
        <v>3</v>
      </c>
      <c r="B4">
        <f>(B1-1)*(B2-1)</f>
        <v>5412</v>
      </c>
      <c r="D4">
        <f t="shared" ref="D4:D34" si="4">D3+1</f>
        <v>4</v>
      </c>
      <c r="E4">
        <f t="shared" si="0"/>
        <v>4</v>
      </c>
      <c r="G4">
        <f t="shared" ref="G4:G19" si="5">G3+1</f>
        <v>3</v>
      </c>
      <c r="H4">
        <f t="shared" si="1"/>
        <v>955.11764705882354</v>
      </c>
      <c r="I4" t="b">
        <f t="shared" si="2"/>
        <v>0</v>
      </c>
      <c r="K4">
        <v>4955</v>
      </c>
      <c r="L4" cm="1">
        <f t="array" ref="L4">DescifrarRSA(K4, $B$6, $B$3)</f>
        <v>76</v>
      </c>
      <c r="M4" t="str">
        <f t="shared" si="3"/>
        <v>L</v>
      </c>
    </row>
    <row r="5" spans="1:13" x14ac:dyDescent="0.2">
      <c r="A5" t="s">
        <v>6</v>
      </c>
      <c r="B5">
        <v>17</v>
      </c>
      <c r="D5">
        <f t="shared" si="4"/>
        <v>5</v>
      </c>
      <c r="E5">
        <f t="shared" si="0"/>
        <v>1</v>
      </c>
      <c r="G5">
        <f t="shared" si="5"/>
        <v>4</v>
      </c>
      <c r="H5">
        <f t="shared" si="1"/>
        <v>1273.4705882352941</v>
      </c>
      <c r="I5" t="b">
        <f t="shared" si="2"/>
        <v>0</v>
      </c>
      <c r="K5">
        <v>4201</v>
      </c>
      <c r="L5" cm="1">
        <f t="array" ref="L5">DescifrarRSA(K5, $B$6, $B$3)</f>
        <v>65</v>
      </c>
      <c r="M5" t="str">
        <f t="shared" si="3"/>
        <v>A</v>
      </c>
    </row>
    <row r="6" spans="1:13" x14ac:dyDescent="0.2">
      <c r="A6" t="s">
        <v>10</v>
      </c>
      <c r="B6">
        <v>4457</v>
      </c>
      <c r="D6">
        <f t="shared" si="4"/>
        <v>6</v>
      </c>
      <c r="E6">
        <f t="shared" si="0"/>
        <v>6</v>
      </c>
      <c r="G6">
        <f t="shared" si="5"/>
        <v>5</v>
      </c>
      <c r="H6">
        <f t="shared" si="1"/>
        <v>1591.8235294117646</v>
      </c>
      <c r="I6" t="b">
        <f t="shared" si="2"/>
        <v>0</v>
      </c>
      <c r="K6">
        <v>3162</v>
      </c>
      <c r="L6" cm="1">
        <f t="array" ref="L6">DescifrarRSA(K6, $B$6, $B$3)</f>
        <v>32</v>
      </c>
      <c r="M6" t="str">
        <f t="shared" si="3"/>
        <v xml:space="preserve"> </v>
      </c>
    </row>
    <row r="7" spans="1:13" x14ac:dyDescent="0.2">
      <c r="D7">
        <f t="shared" si="4"/>
        <v>7</v>
      </c>
      <c r="E7">
        <f t="shared" si="0"/>
        <v>1</v>
      </c>
      <c r="G7">
        <f t="shared" si="5"/>
        <v>6</v>
      </c>
      <c r="H7">
        <f t="shared" si="1"/>
        <v>1910.1764705882354</v>
      </c>
      <c r="I7" t="b">
        <f t="shared" si="2"/>
        <v>0</v>
      </c>
      <c r="K7">
        <v>4343</v>
      </c>
      <c r="L7" cm="1">
        <f t="array" ref="L7">DescifrarRSA(K7, $B$6, $B$3)</f>
        <v>77</v>
      </c>
      <c r="M7" t="str">
        <f t="shared" si="3"/>
        <v>M</v>
      </c>
    </row>
    <row r="8" spans="1:13" x14ac:dyDescent="0.2">
      <c r="D8">
        <f t="shared" si="4"/>
        <v>8</v>
      </c>
      <c r="E8">
        <f t="shared" si="0"/>
        <v>4</v>
      </c>
      <c r="G8">
        <f t="shared" si="5"/>
        <v>7</v>
      </c>
      <c r="H8">
        <f t="shared" si="1"/>
        <v>2228.5294117647059</v>
      </c>
      <c r="I8" t="b">
        <f t="shared" si="2"/>
        <v>0</v>
      </c>
      <c r="K8">
        <v>2754</v>
      </c>
      <c r="L8" cm="1">
        <f t="array" ref="L8">DescifrarRSA(K8, $B$6, $B$3)</f>
        <v>85</v>
      </c>
      <c r="M8" t="str">
        <f t="shared" si="3"/>
        <v>U</v>
      </c>
    </row>
    <row r="9" spans="1:13" x14ac:dyDescent="0.2">
      <c r="D9">
        <f t="shared" si="4"/>
        <v>9</v>
      </c>
      <c r="E9">
        <f t="shared" si="0"/>
        <v>3</v>
      </c>
      <c r="G9">
        <f t="shared" si="5"/>
        <v>8</v>
      </c>
      <c r="H9">
        <f t="shared" si="1"/>
        <v>2546.8823529411766</v>
      </c>
      <c r="I9" t="b">
        <f t="shared" si="2"/>
        <v>0</v>
      </c>
      <c r="K9">
        <v>2497</v>
      </c>
      <c r="L9" cm="1">
        <f t="array" ref="L9">DescifrarRSA(K9, $B$6, $B$3)</f>
        <v>78</v>
      </c>
      <c r="M9" t="str">
        <f t="shared" si="3"/>
        <v>N</v>
      </c>
    </row>
    <row r="10" spans="1:13" x14ac:dyDescent="0.2">
      <c r="D10">
        <f t="shared" si="4"/>
        <v>10</v>
      </c>
      <c r="E10">
        <f t="shared" si="0"/>
        <v>2</v>
      </c>
      <c r="G10">
        <f t="shared" si="5"/>
        <v>9</v>
      </c>
      <c r="H10">
        <f t="shared" si="1"/>
        <v>2865.2352941176468</v>
      </c>
      <c r="I10" t="b">
        <f t="shared" si="2"/>
        <v>0</v>
      </c>
      <c r="K10">
        <v>336</v>
      </c>
      <c r="L10" cm="1">
        <f t="array" ref="L10">DescifrarRSA(K10, $B$6, $B$3)</f>
        <v>68</v>
      </c>
      <c r="M10" t="str">
        <f t="shared" si="3"/>
        <v>D</v>
      </c>
    </row>
    <row r="11" spans="1:13" x14ac:dyDescent="0.2">
      <c r="D11">
        <f t="shared" si="4"/>
        <v>11</v>
      </c>
      <c r="E11">
        <f t="shared" si="0"/>
        <v>11</v>
      </c>
      <c r="G11">
        <f t="shared" si="5"/>
        <v>10</v>
      </c>
      <c r="H11">
        <f t="shared" si="1"/>
        <v>3183.5882352941176</v>
      </c>
      <c r="I11" t="b">
        <f t="shared" si="2"/>
        <v>0</v>
      </c>
      <c r="K11">
        <v>2597</v>
      </c>
      <c r="L11" cm="1">
        <f t="array" ref="L11">DescifrarRSA(K11, $B$6, $B$3)</f>
        <v>79</v>
      </c>
      <c r="M11" t="str">
        <f t="shared" si="3"/>
        <v>O</v>
      </c>
    </row>
    <row r="12" spans="1:13" x14ac:dyDescent="0.2">
      <c r="D12">
        <f t="shared" si="4"/>
        <v>12</v>
      </c>
      <c r="E12">
        <f t="shared" si="0"/>
        <v>12</v>
      </c>
      <c r="G12">
        <f t="shared" si="5"/>
        <v>11</v>
      </c>
      <c r="H12">
        <f t="shared" si="1"/>
        <v>3501.9411764705883</v>
      </c>
      <c r="I12" t="b">
        <f t="shared" si="2"/>
        <v>0</v>
      </c>
    </row>
    <row r="13" spans="1:13" x14ac:dyDescent="0.2">
      <c r="D13">
        <f t="shared" si="4"/>
        <v>13</v>
      </c>
      <c r="E13">
        <f t="shared" si="0"/>
        <v>1</v>
      </c>
      <c r="G13">
        <f t="shared" si="5"/>
        <v>12</v>
      </c>
      <c r="H13">
        <f t="shared" si="1"/>
        <v>3820.294117647059</v>
      </c>
      <c r="I13" t="b">
        <f t="shared" si="2"/>
        <v>0</v>
      </c>
    </row>
    <row r="14" spans="1:13" x14ac:dyDescent="0.2">
      <c r="D14">
        <f t="shared" si="4"/>
        <v>14</v>
      </c>
      <c r="E14">
        <f t="shared" si="0"/>
        <v>2</v>
      </c>
      <c r="G14">
        <f t="shared" si="5"/>
        <v>13</v>
      </c>
      <c r="H14">
        <f t="shared" si="1"/>
        <v>4138.6470588235297</v>
      </c>
      <c r="I14" t="b">
        <f t="shared" si="2"/>
        <v>0</v>
      </c>
    </row>
    <row r="15" spans="1:13" x14ac:dyDescent="0.2">
      <c r="D15">
        <f t="shared" si="4"/>
        <v>15</v>
      </c>
      <c r="E15">
        <f t="shared" si="0"/>
        <v>3</v>
      </c>
      <c r="G15">
        <f t="shared" si="5"/>
        <v>14</v>
      </c>
      <c r="H15">
        <f t="shared" si="1"/>
        <v>4457</v>
      </c>
      <c r="I15" t="b">
        <f t="shared" si="2"/>
        <v>1</v>
      </c>
    </row>
    <row r="16" spans="1:13" x14ac:dyDescent="0.2">
      <c r="D16">
        <f t="shared" si="4"/>
        <v>16</v>
      </c>
      <c r="E16">
        <f t="shared" si="0"/>
        <v>4</v>
      </c>
      <c r="G16">
        <f>G15+1</f>
        <v>15</v>
      </c>
      <c r="H16">
        <f t="shared" si="1"/>
        <v>4775.3529411764703</v>
      </c>
      <c r="I16" t="b">
        <f t="shared" si="2"/>
        <v>0</v>
      </c>
    </row>
    <row r="17" spans="4:9" x14ac:dyDescent="0.2">
      <c r="D17">
        <f t="shared" si="4"/>
        <v>17</v>
      </c>
      <c r="E17">
        <f t="shared" si="0"/>
        <v>1</v>
      </c>
      <c r="G17">
        <f t="shared" si="5"/>
        <v>16</v>
      </c>
      <c r="H17">
        <f t="shared" si="1"/>
        <v>5093.7058823529414</v>
      </c>
      <c r="I17" t="b">
        <f t="shared" si="2"/>
        <v>0</v>
      </c>
    </row>
    <row r="18" spans="4:9" x14ac:dyDescent="0.2">
      <c r="D18">
        <f t="shared" si="4"/>
        <v>18</v>
      </c>
      <c r="E18">
        <f t="shared" si="0"/>
        <v>6</v>
      </c>
      <c r="G18">
        <f t="shared" si="5"/>
        <v>17</v>
      </c>
      <c r="H18">
        <f t="shared" si="1"/>
        <v>5412.0588235294117</v>
      </c>
      <c r="I18" t="b">
        <f t="shared" si="2"/>
        <v>0</v>
      </c>
    </row>
    <row r="19" spans="4:9" x14ac:dyDescent="0.2">
      <c r="D19">
        <f t="shared" si="4"/>
        <v>19</v>
      </c>
      <c r="E19">
        <f t="shared" si="0"/>
        <v>1</v>
      </c>
      <c r="G19">
        <f t="shared" si="5"/>
        <v>18</v>
      </c>
      <c r="H19">
        <f t="shared" si="1"/>
        <v>5730.411764705882</v>
      </c>
      <c r="I19" t="b">
        <f t="shared" si="2"/>
        <v>0</v>
      </c>
    </row>
    <row r="20" spans="4:9" x14ac:dyDescent="0.2">
      <c r="D20">
        <f t="shared" si="4"/>
        <v>20</v>
      </c>
      <c r="E20">
        <f t="shared" si="0"/>
        <v>4</v>
      </c>
      <c r="G20">
        <f>G19+1</f>
        <v>19</v>
      </c>
      <c r="H20">
        <f t="shared" si="1"/>
        <v>6048.7647058823532</v>
      </c>
      <c r="I20" t="b">
        <f t="shared" si="2"/>
        <v>0</v>
      </c>
    </row>
    <row r="21" spans="4:9" x14ac:dyDescent="0.2">
      <c r="D21">
        <f t="shared" si="4"/>
        <v>21</v>
      </c>
      <c r="E21">
        <f t="shared" si="0"/>
        <v>3</v>
      </c>
      <c r="G21">
        <f>G20+1</f>
        <v>20</v>
      </c>
      <c r="H21">
        <f t="shared" si="1"/>
        <v>6367.1176470588234</v>
      </c>
      <c r="I21" t="b">
        <f t="shared" si="2"/>
        <v>0</v>
      </c>
    </row>
    <row r="22" spans="4:9" x14ac:dyDescent="0.2">
      <c r="D22">
        <f t="shared" si="4"/>
        <v>22</v>
      </c>
      <c r="E22">
        <f t="shared" si="0"/>
        <v>22</v>
      </c>
      <c r="G22">
        <f t="shared" ref="G22:G34" si="6">G21+1</f>
        <v>21</v>
      </c>
      <c r="H22">
        <f t="shared" si="1"/>
        <v>6685.4705882352937</v>
      </c>
      <c r="I22" t="b">
        <f t="shared" si="2"/>
        <v>0</v>
      </c>
    </row>
    <row r="23" spans="4:9" x14ac:dyDescent="0.2">
      <c r="D23">
        <f t="shared" si="4"/>
        <v>23</v>
      </c>
      <c r="E23">
        <f t="shared" si="0"/>
        <v>1</v>
      </c>
      <c r="G23">
        <f t="shared" si="6"/>
        <v>22</v>
      </c>
      <c r="H23">
        <f t="shared" si="1"/>
        <v>7003.8235294117649</v>
      </c>
      <c r="I23" t="b">
        <f t="shared" si="2"/>
        <v>0</v>
      </c>
    </row>
    <row r="24" spans="4:9" x14ac:dyDescent="0.2">
      <c r="D24">
        <f t="shared" si="4"/>
        <v>24</v>
      </c>
      <c r="E24">
        <f t="shared" si="0"/>
        <v>12</v>
      </c>
      <c r="G24">
        <f t="shared" si="6"/>
        <v>23</v>
      </c>
      <c r="H24">
        <f t="shared" si="1"/>
        <v>7322.1764705882351</v>
      </c>
      <c r="I24" t="b">
        <f t="shared" si="2"/>
        <v>0</v>
      </c>
    </row>
    <row r="25" spans="4:9" x14ac:dyDescent="0.2">
      <c r="D25">
        <f t="shared" si="4"/>
        <v>25</v>
      </c>
      <c r="E25">
        <f t="shared" si="0"/>
        <v>1</v>
      </c>
      <c r="G25">
        <f t="shared" si="6"/>
        <v>24</v>
      </c>
      <c r="H25">
        <f t="shared" si="1"/>
        <v>7640.5294117647063</v>
      </c>
      <c r="I25" t="b">
        <f t="shared" si="2"/>
        <v>0</v>
      </c>
    </row>
    <row r="26" spans="4:9" x14ac:dyDescent="0.2">
      <c r="D26">
        <f t="shared" si="4"/>
        <v>26</v>
      </c>
      <c r="E26">
        <f t="shared" si="0"/>
        <v>2</v>
      </c>
      <c r="G26">
        <f t="shared" si="6"/>
        <v>25</v>
      </c>
      <c r="H26">
        <f t="shared" si="1"/>
        <v>7958.8823529411766</v>
      </c>
      <c r="I26" t="b">
        <f t="shared" si="2"/>
        <v>0</v>
      </c>
    </row>
    <row r="27" spans="4:9" x14ac:dyDescent="0.2">
      <c r="D27">
        <f t="shared" si="4"/>
        <v>27</v>
      </c>
      <c r="E27">
        <f t="shared" si="0"/>
        <v>3</v>
      </c>
      <c r="G27">
        <f t="shared" si="6"/>
        <v>26</v>
      </c>
      <c r="H27">
        <f t="shared" si="1"/>
        <v>8277.2352941176468</v>
      </c>
      <c r="I27" t="b">
        <f t="shared" si="2"/>
        <v>0</v>
      </c>
    </row>
    <row r="28" spans="4:9" x14ac:dyDescent="0.2">
      <c r="D28">
        <f t="shared" si="4"/>
        <v>28</v>
      </c>
      <c r="E28">
        <f t="shared" si="0"/>
        <v>4</v>
      </c>
      <c r="G28">
        <f t="shared" si="6"/>
        <v>27</v>
      </c>
      <c r="H28">
        <f t="shared" si="1"/>
        <v>8595.5882352941171</v>
      </c>
      <c r="I28" t="b">
        <f t="shared" si="2"/>
        <v>0</v>
      </c>
    </row>
    <row r="29" spans="4:9" x14ac:dyDescent="0.2">
      <c r="D29">
        <f t="shared" si="4"/>
        <v>29</v>
      </c>
      <c r="E29">
        <f t="shared" si="0"/>
        <v>1</v>
      </c>
      <c r="G29">
        <f t="shared" si="6"/>
        <v>28</v>
      </c>
      <c r="H29">
        <f t="shared" si="1"/>
        <v>8913.9411764705874</v>
      </c>
      <c r="I29" t="b">
        <f t="shared" si="2"/>
        <v>0</v>
      </c>
    </row>
    <row r="30" spans="4:9" x14ac:dyDescent="0.2">
      <c r="D30">
        <f t="shared" si="4"/>
        <v>30</v>
      </c>
      <c r="E30">
        <f t="shared" si="0"/>
        <v>6</v>
      </c>
      <c r="G30">
        <f t="shared" si="6"/>
        <v>29</v>
      </c>
      <c r="H30">
        <f t="shared" si="1"/>
        <v>9232.2941176470595</v>
      </c>
      <c r="I30" t="b">
        <f t="shared" si="2"/>
        <v>0</v>
      </c>
    </row>
    <row r="31" spans="4:9" x14ac:dyDescent="0.2">
      <c r="D31">
        <f t="shared" si="4"/>
        <v>31</v>
      </c>
      <c r="E31">
        <f t="shared" si="0"/>
        <v>1</v>
      </c>
      <c r="G31">
        <f t="shared" si="6"/>
        <v>30</v>
      </c>
      <c r="H31">
        <f t="shared" si="1"/>
        <v>9550.6470588235297</v>
      </c>
      <c r="I31" t="b">
        <f t="shared" si="2"/>
        <v>0</v>
      </c>
    </row>
    <row r="32" spans="4:9" x14ac:dyDescent="0.2">
      <c r="D32">
        <f t="shared" si="4"/>
        <v>32</v>
      </c>
      <c r="E32">
        <f t="shared" si="0"/>
        <v>4</v>
      </c>
      <c r="G32">
        <f t="shared" si="6"/>
        <v>31</v>
      </c>
      <c r="H32">
        <f t="shared" si="1"/>
        <v>9869</v>
      </c>
      <c r="I32" t="b">
        <f t="shared" si="2"/>
        <v>1</v>
      </c>
    </row>
    <row r="33" spans="4:9" x14ac:dyDescent="0.2">
      <c r="D33">
        <f t="shared" si="4"/>
        <v>33</v>
      </c>
      <c r="E33">
        <f t="shared" si="0"/>
        <v>33</v>
      </c>
      <c r="G33">
        <f t="shared" si="6"/>
        <v>32</v>
      </c>
      <c r="H33">
        <f t="shared" si="1"/>
        <v>10187.35294117647</v>
      </c>
      <c r="I33" t="b">
        <f t="shared" si="2"/>
        <v>0</v>
      </c>
    </row>
    <row r="34" spans="4:9" x14ac:dyDescent="0.2">
      <c r="D34">
        <f t="shared" si="4"/>
        <v>34</v>
      </c>
      <c r="E34">
        <f t="shared" si="0"/>
        <v>2</v>
      </c>
      <c r="G34">
        <f t="shared" si="6"/>
        <v>33</v>
      </c>
      <c r="H34">
        <f t="shared" si="1"/>
        <v>10505.705882352941</v>
      </c>
      <c r="I34" t="b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2026-09-08T03:41:01Z</dcterms:created>
  <dcterms:modified xsi:type="dcterms:W3CDTF">2026-09-27T04:09:40Z</dcterms:modified>
</cp:coreProperties>
</file>